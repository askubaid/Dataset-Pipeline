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baid\Desktop\PythonWorks\TOPL_project\"/>
    </mc:Choice>
  </mc:AlternateContent>
  <bookViews>
    <workbookView xWindow="0" yWindow="0" windowWidth="25125" windowHeight="12180"/>
  </bookViews>
  <sheets>
    <sheet name="Raw" sheetId="7" r:id="rId1"/>
  </sheets>
  <definedNames>
    <definedName name="_xlnm._FilterDatabase" localSheetId="0" hidden="1">Raw!$D$2:$D$160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9" i="7" l="1"/>
  <c r="E158" i="7"/>
  <c r="E151" i="7"/>
  <c r="E150" i="7"/>
  <c r="E143" i="7"/>
  <c r="E142" i="7"/>
  <c r="E141" i="7"/>
  <c r="E136" i="7"/>
  <c r="E134" i="7"/>
  <c r="E131" i="7"/>
  <c r="E128" i="7"/>
  <c r="E117" i="7"/>
  <c r="E114" i="7"/>
  <c r="E111" i="7"/>
  <c r="E105" i="7"/>
  <c r="E102" i="7"/>
  <c r="E101" i="7"/>
  <c r="E100" i="7"/>
  <c r="E97" i="7"/>
  <c r="E96" i="7"/>
  <c r="E92" i="7"/>
  <c r="E88" i="7"/>
  <c r="E85" i="7"/>
  <c r="E83" i="7"/>
  <c r="E81" i="7"/>
  <c r="E79" i="7"/>
  <c r="E78" i="7"/>
  <c r="E77" i="7"/>
  <c r="E76" i="7"/>
  <c r="E75" i="7"/>
  <c r="E71" i="7"/>
  <c r="E69" i="7"/>
  <c r="E66" i="7"/>
  <c r="E65" i="7"/>
  <c r="E64" i="7"/>
  <c r="E58" i="7"/>
  <c r="E57" i="7"/>
  <c r="E56" i="7"/>
  <c r="E44" i="7"/>
  <c r="E43" i="7"/>
  <c r="E42" i="7"/>
  <c r="E28" i="7"/>
  <c r="E24" i="7"/>
  <c r="E23" i="7"/>
  <c r="E20" i="7"/>
  <c r="E10" i="7"/>
  <c r="E157" i="7"/>
  <c r="E156" i="7"/>
  <c r="E155" i="7"/>
  <c r="E152" i="7"/>
  <c r="E138" i="7"/>
  <c r="E137" i="7"/>
  <c r="E124" i="7"/>
  <c r="E123" i="7"/>
  <c r="E122" i="7"/>
  <c r="E121" i="7"/>
  <c r="E120" i="7"/>
  <c r="E116" i="7"/>
  <c r="E115" i="7"/>
  <c r="E113" i="7"/>
  <c r="E112" i="7"/>
  <c r="E110" i="7"/>
  <c r="E109" i="7"/>
  <c r="E108" i="7"/>
  <c r="E87" i="7"/>
  <c r="E86" i="7"/>
  <c r="E84" i="7"/>
  <c r="E82" i="7"/>
  <c r="E80" i="7"/>
  <c r="E74" i="7"/>
  <c r="E70" i="7"/>
  <c r="E68" i="7"/>
  <c r="E67" i="7"/>
  <c r="E63" i="7"/>
  <c r="E62" i="7"/>
  <c r="E55" i="7"/>
  <c r="E54" i="7"/>
  <c r="E51" i="7"/>
  <c r="E50" i="7"/>
  <c r="E25" i="7"/>
  <c r="E22" i="7"/>
  <c r="E21" i="7"/>
  <c r="E19" i="7"/>
  <c r="E18" i="7"/>
  <c r="E14" i="7"/>
  <c r="E13" i="7"/>
  <c r="E9" i="7"/>
  <c r="E7" i="7"/>
  <c r="E6" i="7"/>
  <c r="E4" i="7"/>
  <c r="E149" i="7"/>
  <c r="E148" i="7"/>
  <c r="E145" i="7"/>
  <c r="E144" i="7"/>
  <c r="E135" i="7"/>
  <c r="E130" i="7"/>
  <c r="E129" i="7"/>
  <c r="E127" i="7"/>
  <c r="E104" i="7"/>
  <c r="E103" i="7"/>
  <c r="E99" i="7"/>
  <c r="E98" i="7"/>
  <c r="E95" i="7"/>
  <c r="E94" i="7"/>
  <c r="E93" i="7"/>
  <c r="E91" i="7"/>
  <c r="E59" i="7"/>
  <c r="E53" i="7"/>
  <c r="E52" i="7"/>
  <c r="E47" i="7"/>
  <c r="E46" i="7"/>
  <c r="E45" i="7"/>
  <c r="E41" i="7"/>
  <c r="E40" i="7"/>
  <c r="E39" i="7"/>
  <c r="E38" i="7"/>
  <c r="E37" i="7"/>
  <c r="E36" i="7"/>
  <c r="E35" i="7"/>
  <c r="E34" i="7"/>
  <c r="E33" i="7"/>
  <c r="E30" i="7"/>
  <c r="E29" i="7"/>
  <c r="E27" i="7"/>
  <c r="E26" i="7"/>
  <c r="E15" i="7"/>
  <c r="E12" i="7"/>
  <c r="E11" i="7"/>
  <c r="E5" i="7"/>
  <c r="E8" i="7" l="1"/>
</calcChain>
</file>

<file path=xl/sharedStrings.xml><?xml version="1.0" encoding="utf-8"?>
<sst xmlns="http://schemas.openxmlformats.org/spreadsheetml/2006/main" count="344" uniqueCount="154">
  <si>
    <t>Themes</t>
  </si>
  <si>
    <t>Category:  Personal &amp; Daily Life</t>
  </si>
  <si>
    <t>Basic Greetings &amp; Introductions</t>
  </si>
  <si>
    <t>The Human Body &amp;Anatomy</t>
  </si>
  <si>
    <t>Physical Sensations</t>
  </si>
  <si>
    <t>Health, Illness &amp; Medical Symptoms</t>
  </si>
  <si>
    <t>Personal Hygiene &amp; Bathroom</t>
  </si>
  <si>
    <t>Clothing &amp; Accessories</t>
  </si>
  <si>
    <t>Fruits &amp; Vegetables</t>
  </si>
  <si>
    <t>Drinks &amp; Beverages</t>
  </si>
  <si>
    <t>Low</t>
  </si>
  <si>
    <t>High</t>
  </si>
  <si>
    <t>Medium</t>
  </si>
  <si>
    <t>tokens</t>
  </si>
  <si>
    <t>Family Members &amp; Relationships</t>
  </si>
  <si>
    <t>Daily Routines</t>
  </si>
  <si>
    <t>Food, Ingredients &amp; Cooking</t>
  </si>
  <si>
    <t>Dining Out &amp; Restaurants</t>
  </si>
  <si>
    <t>NC</t>
  </si>
  <si>
    <t>SP</t>
  </si>
  <si>
    <t>Telling Time</t>
  </si>
  <si>
    <t>Days of the Week &amp; Months</t>
  </si>
  <si>
    <t>Numbers, Counting&amp; Basic Math</t>
  </si>
  <si>
    <t>Colors &amp; Shapes</t>
  </si>
  <si>
    <t>Directions</t>
  </si>
  <si>
    <t>Driving &amp; Traffic Rules</t>
  </si>
  <si>
    <t>Travel &amp; Tourism</t>
  </si>
  <si>
    <t>Airports &amp; Flying</t>
  </si>
  <si>
    <t>Parts of the House</t>
  </si>
  <si>
    <t>Neighborhood &amp; City Life</t>
  </si>
  <si>
    <t>Transportation</t>
  </si>
  <si>
    <t>Seasons &amp; Weather Conditions</t>
  </si>
  <si>
    <t>Occupations &amp; Professions</t>
  </si>
  <si>
    <t>The Office &amp; Workspace</t>
  </si>
  <si>
    <t>Schools, Education &amp; Subjects</t>
  </si>
  <si>
    <t>Hobbies &amp; Leisure Activities</t>
  </si>
  <si>
    <t>Sports &amp; Physical Exercise</t>
  </si>
  <si>
    <t>Music &amp; Musical Instruments</t>
  </si>
  <si>
    <t>Movies, Theater &amp; Arts</t>
  </si>
  <si>
    <t>Books &amp; Literature</t>
  </si>
  <si>
    <t>Shopping &amp; Malls</t>
  </si>
  <si>
    <t xml:space="preserve"> Supermarkets &amp; Grocery Shopping</t>
  </si>
  <si>
    <t>Money, Banking &amp; Finance</t>
  </si>
  <si>
    <t>Post Office &amp; Mailing</t>
  </si>
  <si>
    <t>Computers &amp; The Internet</t>
  </si>
  <si>
    <t>Smartphones &amp; Social Media</t>
  </si>
  <si>
    <t>Communication</t>
  </si>
  <si>
    <t>#</t>
  </si>
  <si>
    <t>Furniture &amp; Household Appliances</t>
  </si>
  <si>
    <t>low</t>
  </si>
  <si>
    <t>Category:  Work &amp; Social Activities</t>
  </si>
  <si>
    <t>Category:  The Environment (Space &amp; Time)</t>
  </si>
  <si>
    <t>Common Pets (Dogs, Cats, Birds)</t>
  </si>
  <si>
    <t>Farm Animals</t>
  </si>
  <si>
    <t>Wild Animals &amp; The Jungle</t>
  </si>
  <si>
    <t>Sea Creatures &amp; The Ocean</t>
  </si>
  <si>
    <t>Insects &amp; Small Creatures</t>
  </si>
  <si>
    <t>Plants, Flowers &amp; Trees</t>
  </si>
  <si>
    <t>Geography (Mountains, Rivers, Deserts)</t>
  </si>
  <si>
    <t>The Universe (Stars, Planets, Space)</t>
  </si>
  <si>
    <t>Environmental Issues &amp; Recycling</t>
  </si>
  <si>
    <t>Farming &amp; Agriculture</t>
  </si>
  <si>
    <t>Positive Emotions (Happiness, Love, Joy)</t>
  </si>
  <si>
    <t>Negative Emotions (Sadness, Anger, Fear)</t>
  </si>
  <si>
    <t>Complex Feelings (Anxiety, Confusion, Hope)</t>
  </si>
  <si>
    <t>Opinions &amp; Agreements (Yes, No, Maybe, I think)</t>
  </si>
  <si>
    <t>Character Traits (Honesty, Bravery, Kindness)</t>
  </si>
  <si>
    <t>Descriptions (Big, Small, Fast, Slow)</t>
  </si>
  <si>
    <t>Comparison (Better, Worse, More, Less)</t>
  </si>
  <si>
    <t>Logic &amp; Reasoning (Because, Therefore, If)</t>
  </si>
  <si>
    <t>Quantities (Some, Many, Few, All)</t>
  </si>
  <si>
    <t>Possibility &amp; Necessity (Can, Must, Should)</t>
  </si>
  <si>
    <t>Asking for Help</t>
  </si>
  <si>
    <t>Emergency Situations (Fire, Police)</t>
  </si>
  <si>
    <t>Planning a Party or Event</t>
  </si>
  <si>
    <t>Buying a House or Apartment</t>
  </si>
  <si>
    <t>Renting a Car</t>
  </si>
  <si>
    <t>At the Hotel (Check-in, Room Service)</t>
  </si>
  <si>
    <t>At the Beach</t>
  </si>
  <si>
    <t>At the Gym</t>
  </si>
  <si>
    <t>At the Library</t>
  </si>
  <si>
    <t>At the Museum</t>
  </si>
  <si>
    <t>At the Pharmacy</t>
  </si>
  <si>
    <t>At the Dentist</t>
  </si>
  <si>
    <t>At the Hairdresser</t>
  </si>
  <si>
    <t>At the Bakery</t>
  </si>
  <si>
    <t>At the Hardware Store</t>
  </si>
  <si>
    <t>Business Meetings &amp; Negotiations</t>
  </si>
  <si>
    <t>Sales &amp; Marketing</t>
  </si>
  <si>
    <t>Legal &amp; Justice System</t>
  </si>
  <si>
    <t>Politics &amp; Government</t>
  </si>
  <si>
    <t>Science &amp; Research</t>
  </si>
  <si>
    <t>History &amp; Culture</t>
  </si>
  <si>
    <t>Religion &amp; Spirituality</t>
  </si>
  <si>
    <t>Philosophy &amp; Ethics</t>
  </si>
  <si>
    <t>Architecture &amp; Engineering</t>
  </si>
  <si>
    <t>News &amp; Current Events</t>
  </si>
  <si>
    <t>Fashion &amp; Design</t>
  </si>
  <si>
    <t>Photography &amp; Video</t>
  </si>
  <si>
    <t>Gaming &amp; Virtual Reality</t>
  </si>
  <si>
    <t>Space Exploration &amp; Future Tech</t>
  </si>
  <si>
    <t>Global Languages &amp; Countries</t>
  </si>
  <si>
    <t>Talking about the Past (Memories)</t>
  </si>
  <si>
    <t>Talking about the Future (Plans &amp; Dreams)</t>
  </si>
  <si>
    <t>Polite Requests &amp; Commands</t>
  </si>
  <si>
    <t>Complaining &amp; Providing Feedback</t>
  </si>
  <si>
    <t>Apologizing &amp; Making Amends</t>
  </si>
  <si>
    <t>Giving &amp; Receiving Gifts</t>
  </si>
  <si>
    <t>Discussing Family History</t>
  </si>
  <si>
    <t>Talking about Childhood</t>
  </si>
  <si>
    <t>Discussing Dreams &amp; Sleep</t>
  </si>
  <si>
    <t>Global Comparison &amp; Final Review</t>
  </si>
  <si>
    <t>Pronoun Drill: 1 Verb vs All Pronouns</t>
  </si>
  <si>
    <t>Tense Drill: 1 Pair vs All Tenses</t>
  </si>
  <si>
    <t>Negation Drill: Positive vs Negative</t>
  </si>
  <si>
    <t>Question Drill: Statements vs Interrogatives</t>
  </si>
  <si>
    <t>Preposition Drill: Verbs with Different Prepositions</t>
  </si>
  <si>
    <t>Category: Nature &amp; Animals</t>
  </si>
  <si>
    <t>Category: Emotion and Concept</t>
  </si>
  <si>
    <t>Category:  Specific Situations</t>
  </si>
  <si>
    <t>Category: Abstract &amp; Professional</t>
  </si>
  <si>
    <t>Category: Specialized Conversations</t>
  </si>
  <si>
    <t>Tokens</t>
  </si>
  <si>
    <t>Conditional Sentences (Type 1, 2, 3)</t>
  </si>
  <si>
    <t>Passive Voice (All Tenses)</t>
  </si>
  <si>
    <t>Reported Speech (Statements, Questions, Commands)</t>
  </si>
  <si>
    <t>Modal Perfects (Should have, Could have, Would have)</t>
  </si>
  <si>
    <t>Subjunctive &amp; Wishes (I wish, If only, As if)</t>
  </si>
  <si>
    <t>Medical Diagnosis &amp; Prescription (Doctor perspective)</t>
  </si>
  <si>
    <t>Military &amp; Defense (Commands, Strategy, Equipment)</t>
  </si>
  <si>
    <t>Journalism &amp; News Reporting (Headlines, Sources, Interviews)</t>
  </si>
  <si>
    <t>Construction &amp; Trades (Carpentry, Plumbing, Electrical)</t>
  </si>
  <si>
    <t>Hospitality Service (Staff perspective — hotels, restaurants)</t>
  </si>
  <si>
    <t>Cause &amp; Effect Relationships</t>
  </si>
  <si>
    <t>Expressing &amp; Justifying Opinions</t>
  </si>
  <si>
    <t>Making Concessions &amp; Counterarguments</t>
  </si>
  <si>
    <t>Hypothetical &amp; Imaginary Scenarios</t>
  </si>
  <si>
    <t>Persuasion &amp; Rhetoric (Convincing Others)</t>
  </si>
  <si>
    <t>Telling a Short Story (Beginning, Middle, End)</t>
  </si>
  <si>
    <t>Describing People (Appearance &amp; Personality)</t>
  </si>
  <si>
    <t>Describing Places (Atmosphere, Sights, Sounds)</t>
  </si>
  <si>
    <t>Describing Processes &amp; Instructions (Sequential)</t>
  </si>
  <si>
    <t>Expressing Regret &amp; Forgiveness (Deep emotional nuance)</t>
  </si>
  <si>
    <t>Adverbs of Frequency (Always, Usually, Sometimes, Rarely, Never)</t>
  </si>
  <si>
    <t>Talking about Habits (Past, Present, and Changed habits — "used to")</t>
  </si>
  <si>
    <t>Expressing Preferences (Rather than, Prefer to, Like better)</t>
  </si>
  <si>
    <t>Making Suggestions &amp; Giving Advice (Extended)</t>
  </si>
  <si>
    <t>Expressing Speculation &amp; Deduction (Must be, Might be, Can't be)</t>
  </si>
  <si>
    <t>Category: Advanced Grammar &amp; Logical Structures</t>
  </si>
  <si>
    <t>Category: Professional &amp; Technical Domains</t>
  </si>
  <si>
    <t>Category: Abstract Reasoning &amp; Persuasion</t>
  </si>
  <si>
    <t>Category: Narrative, Descriptive &amp; Figurative Language</t>
  </si>
  <si>
    <t>Category: Time, Probability &amp; Nuance</t>
  </si>
  <si>
    <t>Category: Grammar &amp; Verb Drills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</si>
</sst>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 applyAlignment="1">
      <alignment horizontal="center"/>
    </xf>
    <xf numFmtId="0" fontId="2" fillId="2" borderId="3" xfId="0" applyFont="1" applyFill="1" applyBorder="1" applyAlignment="1"/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left" vertical="center" wrapText="1" readingOrder="1"/>
    </xf>
    <xf numFmtId="0" fontId="0" fillId="0" borderId="0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 readingOrder="1"/>
    </xf>
    <xf numFmtId="0" fontId="7" fillId="0" borderId="0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9"/>
  <sheetViews>
    <sheetView tabSelected="1" workbookViewId="0">
      <selection activeCell="C8" sqref="C8"/>
    </sheetView>
  </sheetViews>
  <sheetFormatPr defaultRowHeight="15.75" x14ac:dyDescent="0.25"/>
  <cols>
    <col min="2" max="2" width="9.140625" style="10"/>
    <col min="3" max="3" width="69.7109375" style="19" customWidth="1"/>
    <col min="4" max="4" width="10.42578125" style="8" customWidth="1"/>
    <col min="5" max="5" width="11.28515625" style="8" customWidth="1"/>
    <col min="6" max="6" width="9.5703125" style="8" customWidth="1"/>
  </cols>
  <sheetData>
    <row r="2" spans="2:6" ht="18.75" x14ac:dyDescent="0.25">
      <c r="B2" s="23" t="s">
        <v>1</v>
      </c>
      <c r="C2" s="24"/>
      <c r="D2" s="23"/>
      <c r="E2" s="23"/>
      <c r="F2" s="3"/>
    </row>
    <row r="3" spans="2:6" x14ac:dyDescent="0.25">
      <c r="B3" s="9" t="s">
        <v>47</v>
      </c>
      <c r="C3" s="22" t="s">
        <v>0</v>
      </c>
      <c r="D3" s="7" t="s">
        <v>18</v>
      </c>
      <c r="E3" s="18" t="s">
        <v>13</v>
      </c>
      <c r="F3" s="1" t="s">
        <v>19</v>
      </c>
    </row>
    <row r="4" spans="2:6" x14ac:dyDescent="0.25">
      <c r="B4" s="10">
        <v>1</v>
      </c>
      <c r="C4" s="20" t="s">
        <v>2</v>
      </c>
      <c r="D4" s="14" t="s">
        <v>10</v>
      </c>
      <c r="E4" s="14">
        <f>15*1180</f>
        <v>17700</v>
      </c>
      <c r="F4" s="14">
        <v>1250</v>
      </c>
    </row>
    <row r="5" spans="2:6" x14ac:dyDescent="0.25">
      <c r="B5" s="10">
        <v>2</v>
      </c>
      <c r="C5" s="20" t="s">
        <v>14</v>
      </c>
      <c r="D5" s="14" t="s">
        <v>11</v>
      </c>
      <c r="E5" s="14">
        <f>60*F5</f>
        <v>75000</v>
      </c>
      <c r="F5" s="14">
        <v>1250</v>
      </c>
    </row>
    <row r="6" spans="2:6" x14ac:dyDescent="0.25">
      <c r="B6" s="10">
        <v>3</v>
      </c>
      <c r="C6" s="20" t="s">
        <v>3</v>
      </c>
      <c r="D6" s="14" t="s">
        <v>10</v>
      </c>
      <c r="E6" s="14">
        <f t="shared" ref="E6:E7" si="0">15*1180</f>
        <v>17700</v>
      </c>
      <c r="F6" s="14">
        <v>1250</v>
      </c>
    </row>
    <row r="7" spans="2:6" x14ac:dyDescent="0.25">
      <c r="B7" s="10">
        <v>4</v>
      </c>
      <c r="C7" s="20" t="s">
        <v>4</v>
      </c>
      <c r="D7" s="14" t="s">
        <v>10</v>
      </c>
      <c r="E7" s="14">
        <f t="shared" si="0"/>
        <v>17700</v>
      </c>
      <c r="F7" s="14">
        <v>1250</v>
      </c>
    </row>
    <row r="8" spans="2:6" x14ac:dyDescent="0.25">
      <c r="B8" s="10">
        <v>5</v>
      </c>
      <c r="C8" s="20" t="s">
        <v>5</v>
      </c>
      <c r="D8" s="14" t="s">
        <v>12</v>
      </c>
      <c r="E8" s="14">
        <f>30*F8</f>
        <v>37500</v>
      </c>
      <c r="F8" s="14">
        <v>1250</v>
      </c>
    </row>
    <row r="9" spans="2:6" x14ac:dyDescent="0.25">
      <c r="B9" s="10">
        <v>6</v>
      </c>
      <c r="C9" s="20" t="s">
        <v>6</v>
      </c>
      <c r="D9" s="14" t="s">
        <v>10</v>
      </c>
      <c r="E9" s="14">
        <f>15*1180</f>
        <v>17700</v>
      </c>
      <c r="F9" s="14">
        <v>1250</v>
      </c>
    </row>
    <row r="10" spans="2:6" x14ac:dyDescent="0.25">
      <c r="B10" s="10">
        <v>7</v>
      </c>
      <c r="C10" s="20" t="s">
        <v>7</v>
      </c>
      <c r="D10" s="14" t="s">
        <v>12</v>
      </c>
      <c r="E10" s="14">
        <f>30*F10</f>
        <v>37500</v>
      </c>
      <c r="F10" s="14">
        <v>1250</v>
      </c>
    </row>
    <row r="11" spans="2:6" x14ac:dyDescent="0.25">
      <c r="B11" s="10">
        <v>8</v>
      </c>
      <c r="C11" s="20" t="s">
        <v>15</v>
      </c>
      <c r="D11" s="14" t="s">
        <v>11</v>
      </c>
      <c r="E11" s="14">
        <f t="shared" ref="E11:E12" si="1">60*F11</f>
        <v>75000</v>
      </c>
      <c r="F11" s="14">
        <v>1250</v>
      </c>
    </row>
    <row r="12" spans="2:6" x14ac:dyDescent="0.25">
      <c r="B12" s="10">
        <v>9</v>
      </c>
      <c r="C12" s="20" t="s">
        <v>16</v>
      </c>
      <c r="D12" s="14" t="s">
        <v>11</v>
      </c>
      <c r="E12" s="14">
        <f t="shared" si="1"/>
        <v>75000</v>
      </c>
      <c r="F12" s="14">
        <v>1250</v>
      </c>
    </row>
    <row r="13" spans="2:6" x14ac:dyDescent="0.25">
      <c r="B13" s="10">
        <v>10</v>
      </c>
      <c r="C13" s="20" t="s">
        <v>8</v>
      </c>
      <c r="D13" s="14" t="s">
        <v>10</v>
      </c>
      <c r="E13" s="14">
        <f t="shared" ref="E13:E14" si="2">15*1180</f>
        <v>17700</v>
      </c>
      <c r="F13" s="14">
        <v>1250</v>
      </c>
    </row>
    <row r="14" spans="2:6" x14ac:dyDescent="0.25">
      <c r="B14" s="10">
        <v>11</v>
      </c>
      <c r="C14" s="20" t="s">
        <v>9</v>
      </c>
      <c r="D14" s="14" t="s">
        <v>10</v>
      </c>
      <c r="E14" s="14">
        <f t="shared" si="2"/>
        <v>17700</v>
      </c>
      <c r="F14" s="14">
        <v>1250</v>
      </c>
    </row>
    <row r="15" spans="2:6" x14ac:dyDescent="0.25">
      <c r="B15" s="10">
        <v>12</v>
      </c>
      <c r="C15" s="20" t="s">
        <v>17</v>
      </c>
      <c r="D15" s="14" t="s">
        <v>11</v>
      </c>
      <c r="E15" s="14">
        <f>60*F15</f>
        <v>75000</v>
      </c>
      <c r="F15" s="14">
        <v>1250</v>
      </c>
    </row>
    <row r="16" spans="2:6" ht="18.75" x14ac:dyDescent="0.3">
      <c r="B16" s="25" t="s">
        <v>51</v>
      </c>
      <c r="C16" s="25"/>
      <c r="D16" s="25"/>
      <c r="E16" s="25"/>
      <c r="F16" s="2"/>
    </row>
    <row r="17" spans="2:6" x14ac:dyDescent="0.25">
      <c r="B17" s="9" t="s">
        <v>47</v>
      </c>
      <c r="C17" s="22" t="s">
        <v>0</v>
      </c>
      <c r="D17" s="7" t="s">
        <v>18</v>
      </c>
      <c r="E17" s="18" t="s">
        <v>13</v>
      </c>
      <c r="F17" s="1" t="s">
        <v>19</v>
      </c>
    </row>
    <row r="18" spans="2:6" x14ac:dyDescent="0.25">
      <c r="B18" s="10">
        <v>13</v>
      </c>
      <c r="C18" s="20" t="s">
        <v>20</v>
      </c>
      <c r="D18" s="14" t="s">
        <v>10</v>
      </c>
      <c r="E18" s="14">
        <f t="shared" ref="E18:E19" si="3">15*1180</f>
        <v>17700</v>
      </c>
      <c r="F18" s="14">
        <v>1250</v>
      </c>
    </row>
    <row r="19" spans="2:6" x14ac:dyDescent="0.25">
      <c r="B19" s="10">
        <v>14</v>
      </c>
      <c r="C19" s="20" t="s">
        <v>21</v>
      </c>
      <c r="D19" s="14" t="s">
        <v>10</v>
      </c>
      <c r="E19" s="14">
        <f t="shared" si="3"/>
        <v>17700</v>
      </c>
      <c r="F19" s="14">
        <v>1250</v>
      </c>
    </row>
    <row r="20" spans="2:6" x14ac:dyDescent="0.25">
      <c r="B20" s="10">
        <v>15</v>
      </c>
      <c r="C20" s="20" t="s">
        <v>31</v>
      </c>
      <c r="D20" s="14" t="s">
        <v>12</v>
      </c>
      <c r="E20" s="14">
        <f>30*F20</f>
        <v>37500</v>
      </c>
      <c r="F20" s="15">
        <v>1250</v>
      </c>
    </row>
    <row r="21" spans="2:6" x14ac:dyDescent="0.25">
      <c r="B21" s="10">
        <v>16</v>
      </c>
      <c r="C21" s="20" t="s">
        <v>22</v>
      </c>
      <c r="D21" s="14" t="s">
        <v>10</v>
      </c>
      <c r="E21" s="14">
        <f t="shared" ref="E21:E22" si="4">15*1180</f>
        <v>17700</v>
      </c>
      <c r="F21" s="14">
        <v>1250</v>
      </c>
    </row>
    <row r="22" spans="2:6" x14ac:dyDescent="0.25">
      <c r="B22" s="10">
        <v>17</v>
      </c>
      <c r="C22" s="20" t="s">
        <v>23</v>
      </c>
      <c r="D22" s="14" t="s">
        <v>10</v>
      </c>
      <c r="E22" s="14">
        <f t="shared" si="4"/>
        <v>17700</v>
      </c>
      <c r="F22" s="14">
        <v>1250</v>
      </c>
    </row>
    <row r="23" spans="2:6" x14ac:dyDescent="0.25">
      <c r="B23" s="10">
        <v>18</v>
      </c>
      <c r="C23" s="20" t="s">
        <v>24</v>
      </c>
      <c r="D23" s="14" t="s">
        <v>12</v>
      </c>
      <c r="E23" s="14">
        <f t="shared" ref="E23:E24" si="5">30*F23</f>
        <v>37500</v>
      </c>
      <c r="F23" s="14">
        <v>1250</v>
      </c>
    </row>
    <row r="24" spans="2:6" x14ac:dyDescent="0.25">
      <c r="B24" s="10">
        <v>19</v>
      </c>
      <c r="C24" s="20" t="s">
        <v>28</v>
      </c>
      <c r="D24" s="14" t="s">
        <v>12</v>
      </c>
      <c r="E24" s="14">
        <f t="shared" si="5"/>
        <v>37500</v>
      </c>
      <c r="F24" s="14">
        <v>1250</v>
      </c>
    </row>
    <row r="25" spans="2:6" x14ac:dyDescent="0.25">
      <c r="B25" s="10">
        <v>20</v>
      </c>
      <c r="C25" s="20" t="s">
        <v>48</v>
      </c>
      <c r="D25" s="14" t="s">
        <v>49</v>
      </c>
      <c r="E25" s="14">
        <f>15*1180</f>
        <v>17700</v>
      </c>
      <c r="F25" s="14">
        <v>1250</v>
      </c>
    </row>
    <row r="26" spans="2:6" x14ac:dyDescent="0.25">
      <c r="B26" s="10">
        <v>21</v>
      </c>
      <c r="C26" s="20" t="s">
        <v>29</v>
      </c>
      <c r="D26" s="14" t="s">
        <v>11</v>
      </c>
      <c r="E26" s="14">
        <f t="shared" ref="E26:E27" si="6">60*F26</f>
        <v>75000</v>
      </c>
      <c r="F26" s="14">
        <v>1250</v>
      </c>
    </row>
    <row r="27" spans="2:6" x14ac:dyDescent="0.25">
      <c r="B27" s="10">
        <v>22</v>
      </c>
      <c r="C27" s="20" t="s">
        <v>30</v>
      </c>
      <c r="D27" s="14" t="s">
        <v>11</v>
      </c>
      <c r="E27" s="14">
        <f t="shared" si="6"/>
        <v>75000</v>
      </c>
      <c r="F27" s="14">
        <v>1250</v>
      </c>
    </row>
    <row r="28" spans="2:6" x14ac:dyDescent="0.25">
      <c r="B28" s="10">
        <v>23</v>
      </c>
      <c r="C28" s="20" t="s">
        <v>25</v>
      </c>
      <c r="D28" s="14" t="s">
        <v>12</v>
      </c>
      <c r="E28" s="14">
        <f>30*F28</f>
        <v>37500</v>
      </c>
      <c r="F28" s="14">
        <v>1250</v>
      </c>
    </row>
    <row r="29" spans="2:6" x14ac:dyDescent="0.25">
      <c r="B29" s="10">
        <v>24</v>
      </c>
      <c r="C29" s="20" t="s">
        <v>26</v>
      </c>
      <c r="D29" s="14" t="s">
        <v>11</v>
      </c>
      <c r="E29" s="14">
        <f t="shared" ref="E29:E30" si="7">60*F29</f>
        <v>75000</v>
      </c>
      <c r="F29" s="14">
        <v>1250</v>
      </c>
    </row>
    <row r="30" spans="2:6" x14ac:dyDescent="0.25">
      <c r="B30" s="10">
        <v>25</v>
      </c>
      <c r="C30" s="20" t="s">
        <v>27</v>
      </c>
      <c r="D30" s="14" t="s">
        <v>11</v>
      </c>
      <c r="E30" s="14">
        <f t="shared" si="7"/>
        <v>75000</v>
      </c>
      <c r="F30" s="14">
        <v>1250</v>
      </c>
    </row>
    <row r="31" spans="2:6" ht="18.75" x14ac:dyDescent="0.3">
      <c r="B31" s="25" t="s">
        <v>50</v>
      </c>
      <c r="C31" s="25"/>
      <c r="D31" s="25"/>
      <c r="E31" s="25"/>
      <c r="F31" s="2"/>
    </row>
    <row r="32" spans="2:6" x14ac:dyDescent="0.25">
      <c r="B32" s="9" t="s">
        <v>47</v>
      </c>
      <c r="C32" s="22" t="s">
        <v>0</v>
      </c>
      <c r="D32" s="7" t="s">
        <v>18</v>
      </c>
      <c r="E32" s="18" t="s">
        <v>13</v>
      </c>
      <c r="F32" s="1" t="s">
        <v>19</v>
      </c>
    </row>
    <row r="33" spans="2:6" x14ac:dyDescent="0.25">
      <c r="B33" s="10">
        <v>26</v>
      </c>
      <c r="C33" s="20" t="s">
        <v>32</v>
      </c>
      <c r="D33" s="14" t="s">
        <v>11</v>
      </c>
      <c r="E33" s="14">
        <f t="shared" ref="E33:E41" si="8">60*F33</f>
        <v>75000</v>
      </c>
      <c r="F33" s="6">
        <v>1250</v>
      </c>
    </row>
    <row r="34" spans="2:6" x14ac:dyDescent="0.25">
      <c r="B34" s="10">
        <v>27</v>
      </c>
      <c r="C34" s="20" t="s">
        <v>33</v>
      </c>
      <c r="D34" s="14" t="s">
        <v>11</v>
      </c>
      <c r="E34" s="14">
        <f t="shared" si="8"/>
        <v>75000</v>
      </c>
      <c r="F34" s="6">
        <v>1250</v>
      </c>
    </row>
    <row r="35" spans="2:6" x14ac:dyDescent="0.25">
      <c r="B35" s="10">
        <v>28</v>
      </c>
      <c r="C35" s="20" t="s">
        <v>34</v>
      </c>
      <c r="D35" s="14" t="s">
        <v>11</v>
      </c>
      <c r="E35" s="14">
        <f t="shared" si="8"/>
        <v>75000</v>
      </c>
      <c r="F35" s="6">
        <v>1250</v>
      </c>
    </row>
    <row r="36" spans="2:6" x14ac:dyDescent="0.25">
      <c r="B36" s="10">
        <v>29</v>
      </c>
      <c r="C36" s="20" t="s">
        <v>35</v>
      </c>
      <c r="D36" s="14" t="s">
        <v>11</v>
      </c>
      <c r="E36" s="14">
        <f t="shared" si="8"/>
        <v>75000</v>
      </c>
      <c r="F36" s="6">
        <v>1250</v>
      </c>
    </row>
    <row r="37" spans="2:6" x14ac:dyDescent="0.25">
      <c r="B37" s="10">
        <v>30</v>
      </c>
      <c r="C37" s="20" t="s">
        <v>36</v>
      </c>
      <c r="D37" s="14" t="s">
        <v>11</v>
      </c>
      <c r="E37" s="14">
        <f t="shared" si="8"/>
        <v>75000</v>
      </c>
      <c r="F37" s="6">
        <v>1250</v>
      </c>
    </row>
    <row r="38" spans="2:6" x14ac:dyDescent="0.25">
      <c r="B38" s="10">
        <v>31</v>
      </c>
      <c r="C38" s="20" t="s">
        <v>37</v>
      </c>
      <c r="D38" s="14" t="s">
        <v>11</v>
      </c>
      <c r="E38" s="14">
        <f t="shared" si="8"/>
        <v>75000</v>
      </c>
      <c r="F38" s="6">
        <v>1250</v>
      </c>
    </row>
    <row r="39" spans="2:6" x14ac:dyDescent="0.25">
      <c r="B39" s="10">
        <v>32</v>
      </c>
      <c r="C39" s="20" t="s">
        <v>38</v>
      </c>
      <c r="D39" s="14" t="s">
        <v>11</v>
      </c>
      <c r="E39" s="14">
        <f t="shared" si="8"/>
        <v>75000</v>
      </c>
      <c r="F39" s="6">
        <v>1250</v>
      </c>
    </row>
    <row r="40" spans="2:6" x14ac:dyDescent="0.25">
      <c r="B40" s="10">
        <v>33</v>
      </c>
      <c r="C40" s="20" t="s">
        <v>39</v>
      </c>
      <c r="D40" s="14" t="s">
        <v>11</v>
      </c>
      <c r="E40" s="14">
        <f t="shared" si="8"/>
        <v>75000</v>
      </c>
      <c r="F40" s="6">
        <v>1250</v>
      </c>
    </row>
    <row r="41" spans="2:6" x14ac:dyDescent="0.25">
      <c r="B41" s="10">
        <v>34</v>
      </c>
      <c r="C41" s="20" t="s">
        <v>40</v>
      </c>
      <c r="D41" s="14" t="s">
        <v>11</v>
      </c>
      <c r="E41" s="14">
        <f t="shared" si="8"/>
        <v>75000</v>
      </c>
      <c r="F41" s="6">
        <v>1250</v>
      </c>
    </row>
    <row r="42" spans="2:6" x14ac:dyDescent="0.25">
      <c r="B42" s="10">
        <v>35</v>
      </c>
      <c r="C42" s="20" t="s">
        <v>41</v>
      </c>
      <c r="D42" s="14" t="s">
        <v>12</v>
      </c>
      <c r="E42" s="14">
        <f t="shared" ref="E42:E44" si="9">30*F42</f>
        <v>37500</v>
      </c>
      <c r="F42" s="6">
        <v>1250</v>
      </c>
    </row>
    <row r="43" spans="2:6" x14ac:dyDescent="0.25">
      <c r="B43" s="10">
        <v>36</v>
      </c>
      <c r="C43" s="20" t="s">
        <v>42</v>
      </c>
      <c r="D43" s="14" t="s">
        <v>12</v>
      </c>
      <c r="E43" s="14">
        <f t="shared" si="9"/>
        <v>37500</v>
      </c>
      <c r="F43" s="6">
        <v>1250</v>
      </c>
    </row>
    <row r="44" spans="2:6" x14ac:dyDescent="0.25">
      <c r="B44" s="10">
        <v>37</v>
      </c>
      <c r="C44" s="20" t="s">
        <v>43</v>
      </c>
      <c r="D44" s="14" t="s">
        <v>12</v>
      </c>
      <c r="E44" s="14">
        <f t="shared" si="9"/>
        <v>37500</v>
      </c>
      <c r="F44" s="6">
        <v>1250</v>
      </c>
    </row>
    <row r="45" spans="2:6" x14ac:dyDescent="0.25">
      <c r="B45" s="10">
        <v>38</v>
      </c>
      <c r="C45" s="20" t="s">
        <v>44</v>
      </c>
      <c r="D45" s="14" t="s">
        <v>11</v>
      </c>
      <c r="E45" s="14">
        <f t="shared" ref="E45:E47" si="10">60*F45</f>
        <v>75000</v>
      </c>
      <c r="F45" s="6">
        <v>1250</v>
      </c>
    </row>
    <row r="46" spans="2:6" x14ac:dyDescent="0.25">
      <c r="B46" s="10">
        <v>39</v>
      </c>
      <c r="C46" s="20" t="s">
        <v>45</v>
      </c>
      <c r="D46" s="14" t="s">
        <v>11</v>
      </c>
      <c r="E46" s="14">
        <f t="shared" si="10"/>
        <v>75000</v>
      </c>
      <c r="F46" s="6">
        <v>1250</v>
      </c>
    </row>
    <row r="47" spans="2:6" x14ac:dyDescent="0.25">
      <c r="B47" s="10">
        <v>40</v>
      </c>
      <c r="C47" s="20" t="s">
        <v>46</v>
      </c>
      <c r="D47" s="14" t="s">
        <v>11</v>
      </c>
      <c r="E47" s="14">
        <f t="shared" si="10"/>
        <v>75000</v>
      </c>
      <c r="F47" s="6">
        <v>1250</v>
      </c>
    </row>
    <row r="48" spans="2:6" ht="25.5" customHeight="1" x14ac:dyDescent="0.25">
      <c r="B48" s="23" t="s">
        <v>117</v>
      </c>
      <c r="C48" s="23"/>
      <c r="D48" s="23"/>
      <c r="E48" s="23"/>
      <c r="F48" s="3"/>
    </row>
    <row r="49" spans="2:6" x14ac:dyDescent="0.25">
      <c r="B49" s="9" t="s">
        <v>47</v>
      </c>
      <c r="C49" s="22" t="s">
        <v>0</v>
      </c>
      <c r="D49" s="7" t="s">
        <v>18</v>
      </c>
      <c r="E49" s="18" t="s">
        <v>13</v>
      </c>
      <c r="F49" s="1" t="s">
        <v>19</v>
      </c>
    </row>
    <row r="50" spans="2:6" x14ac:dyDescent="0.25">
      <c r="B50" s="11">
        <v>41</v>
      </c>
      <c r="C50" s="21" t="s">
        <v>52</v>
      </c>
      <c r="D50" s="6" t="s">
        <v>10</v>
      </c>
      <c r="E50" s="14">
        <f t="shared" ref="E50:E51" si="11">15*1180</f>
        <v>17700</v>
      </c>
      <c r="F50" s="14">
        <v>1250</v>
      </c>
    </row>
    <row r="51" spans="2:6" x14ac:dyDescent="0.25">
      <c r="B51" s="11">
        <v>42</v>
      </c>
      <c r="C51" s="21" t="s">
        <v>53</v>
      </c>
      <c r="D51" s="6" t="s">
        <v>10</v>
      </c>
      <c r="E51" s="14">
        <f t="shared" si="11"/>
        <v>17700</v>
      </c>
      <c r="F51" s="14">
        <v>1250</v>
      </c>
    </row>
    <row r="52" spans="2:6" x14ac:dyDescent="0.25">
      <c r="B52" s="11">
        <v>43</v>
      </c>
      <c r="C52" s="21" t="s">
        <v>54</v>
      </c>
      <c r="D52" s="6" t="s">
        <v>11</v>
      </c>
      <c r="E52" s="14">
        <f t="shared" ref="E52:E53" si="12">60*F52</f>
        <v>75000</v>
      </c>
      <c r="F52" s="14">
        <v>1250</v>
      </c>
    </row>
    <row r="53" spans="2:6" x14ac:dyDescent="0.25">
      <c r="B53" s="11">
        <v>44</v>
      </c>
      <c r="C53" s="21" t="s">
        <v>55</v>
      </c>
      <c r="D53" s="6" t="s">
        <v>11</v>
      </c>
      <c r="E53" s="14">
        <f t="shared" si="12"/>
        <v>75000</v>
      </c>
      <c r="F53" s="14">
        <v>1250</v>
      </c>
    </row>
    <row r="54" spans="2:6" x14ac:dyDescent="0.25">
      <c r="B54" s="11">
        <v>45</v>
      </c>
      <c r="C54" s="21" t="s">
        <v>56</v>
      </c>
      <c r="D54" s="6" t="s">
        <v>10</v>
      </c>
      <c r="E54" s="14">
        <f t="shared" ref="E54:E55" si="13">15*1180</f>
        <v>17700</v>
      </c>
      <c r="F54" s="14">
        <v>1250</v>
      </c>
    </row>
    <row r="55" spans="2:6" x14ac:dyDescent="0.25">
      <c r="B55" s="11">
        <v>46</v>
      </c>
      <c r="C55" s="21" t="s">
        <v>57</v>
      </c>
      <c r="D55" s="6" t="s">
        <v>10</v>
      </c>
      <c r="E55" s="14">
        <f t="shared" si="13"/>
        <v>17700</v>
      </c>
      <c r="F55" s="14">
        <v>1250</v>
      </c>
    </row>
    <row r="56" spans="2:6" x14ac:dyDescent="0.25">
      <c r="B56" s="11">
        <v>47</v>
      </c>
      <c r="C56" s="21" t="s">
        <v>58</v>
      </c>
      <c r="D56" s="6" t="s">
        <v>12</v>
      </c>
      <c r="E56" s="14">
        <f t="shared" ref="E56:E58" si="14">30*F56</f>
        <v>37500</v>
      </c>
      <c r="F56" s="14">
        <v>1250</v>
      </c>
    </row>
    <row r="57" spans="2:6" x14ac:dyDescent="0.25">
      <c r="B57" s="11">
        <v>48</v>
      </c>
      <c r="C57" s="21" t="s">
        <v>59</v>
      </c>
      <c r="D57" s="6" t="s">
        <v>12</v>
      </c>
      <c r="E57" s="14">
        <f t="shared" si="14"/>
        <v>37500</v>
      </c>
      <c r="F57" s="14">
        <v>1250</v>
      </c>
    </row>
    <row r="58" spans="2:6" x14ac:dyDescent="0.25">
      <c r="B58" s="11">
        <v>49</v>
      </c>
      <c r="C58" s="21" t="s">
        <v>60</v>
      </c>
      <c r="D58" s="6" t="s">
        <v>12</v>
      </c>
      <c r="E58" s="14">
        <f t="shared" si="14"/>
        <v>37500</v>
      </c>
      <c r="F58" s="14">
        <v>1250</v>
      </c>
    </row>
    <row r="59" spans="2:6" x14ac:dyDescent="0.25">
      <c r="B59" s="11">
        <v>50</v>
      </c>
      <c r="C59" s="21" t="s">
        <v>61</v>
      </c>
      <c r="D59" s="6" t="s">
        <v>11</v>
      </c>
      <c r="E59" s="14">
        <f>60*F59</f>
        <v>75000</v>
      </c>
      <c r="F59" s="14">
        <v>1250</v>
      </c>
    </row>
    <row r="60" spans="2:6" ht="18.75" x14ac:dyDescent="0.25">
      <c r="B60" s="23" t="s">
        <v>118</v>
      </c>
      <c r="C60" s="23"/>
      <c r="D60" s="23"/>
      <c r="E60" s="23"/>
      <c r="F60" s="3"/>
    </row>
    <row r="61" spans="2:6" x14ac:dyDescent="0.25">
      <c r="B61" s="9" t="s">
        <v>47</v>
      </c>
      <c r="C61" s="22" t="s">
        <v>0</v>
      </c>
      <c r="D61" s="7" t="s">
        <v>18</v>
      </c>
      <c r="E61" s="18" t="s">
        <v>13</v>
      </c>
      <c r="F61" s="1" t="s">
        <v>19</v>
      </c>
    </row>
    <row r="62" spans="2:6" x14ac:dyDescent="0.25">
      <c r="B62" s="11">
        <v>51</v>
      </c>
      <c r="C62" s="21" t="s">
        <v>62</v>
      </c>
      <c r="D62" s="6" t="s">
        <v>10</v>
      </c>
      <c r="E62" s="14">
        <f t="shared" ref="E62:E63" si="15">15*1180</f>
        <v>17700</v>
      </c>
      <c r="F62" s="14">
        <v>1250</v>
      </c>
    </row>
    <row r="63" spans="2:6" x14ac:dyDescent="0.25">
      <c r="B63" s="11">
        <v>52</v>
      </c>
      <c r="C63" s="21" t="s">
        <v>63</v>
      </c>
      <c r="D63" s="6" t="s">
        <v>10</v>
      </c>
      <c r="E63" s="14">
        <f t="shared" si="15"/>
        <v>17700</v>
      </c>
      <c r="F63" s="14">
        <v>1250</v>
      </c>
    </row>
    <row r="64" spans="2:6" x14ac:dyDescent="0.25">
      <c r="B64" s="11">
        <v>53</v>
      </c>
      <c r="C64" s="21" t="s">
        <v>64</v>
      </c>
      <c r="D64" s="6" t="s">
        <v>12</v>
      </c>
      <c r="E64" s="14">
        <f t="shared" ref="E64:E66" si="16">30*F64</f>
        <v>37500</v>
      </c>
      <c r="F64" s="14">
        <v>1250</v>
      </c>
    </row>
    <row r="65" spans="2:6" x14ac:dyDescent="0.25">
      <c r="B65" s="11">
        <v>54</v>
      </c>
      <c r="C65" s="21" t="s">
        <v>65</v>
      </c>
      <c r="D65" s="6" t="s">
        <v>12</v>
      </c>
      <c r="E65" s="14">
        <f t="shared" si="16"/>
        <v>37500</v>
      </c>
      <c r="F65" s="14">
        <v>1250</v>
      </c>
    </row>
    <row r="66" spans="2:6" x14ac:dyDescent="0.25">
      <c r="B66" s="11">
        <v>55</v>
      </c>
      <c r="C66" s="21" t="s">
        <v>66</v>
      </c>
      <c r="D66" s="6" t="s">
        <v>12</v>
      </c>
      <c r="E66" s="14">
        <f t="shared" si="16"/>
        <v>37500</v>
      </c>
      <c r="F66" s="14">
        <v>1250</v>
      </c>
    </row>
    <row r="67" spans="2:6" x14ac:dyDescent="0.25">
      <c r="B67" s="11">
        <v>56</v>
      </c>
      <c r="C67" s="21" t="s">
        <v>67</v>
      </c>
      <c r="D67" s="6" t="s">
        <v>10</v>
      </c>
      <c r="E67" s="14">
        <f t="shared" ref="E67:E68" si="17">15*1180</f>
        <v>17700</v>
      </c>
      <c r="F67" s="14">
        <v>1250</v>
      </c>
    </row>
    <row r="68" spans="2:6" x14ac:dyDescent="0.25">
      <c r="B68" s="11">
        <v>57</v>
      </c>
      <c r="C68" s="21" t="s">
        <v>68</v>
      </c>
      <c r="D68" s="6" t="s">
        <v>10</v>
      </c>
      <c r="E68" s="14">
        <f t="shared" si="17"/>
        <v>17700</v>
      </c>
      <c r="F68" s="14">
        <v>1250</v>
      </c>
    </row>
    <row r="69" spans="2:6" x14ac:dyDescent="0.25">
      <c r="B69" s="11">
        <v>58</v>
      </c>
      <c r="C69" s="21" t="s">
        <v>69</v>
      </c>
      <c r="D69" s="6" t="s">
        <v>12</v>
      </c>
      <c r="E69" s="14">
        <f>30*F69</f>
        <v>37500</v>
      </c>
      <c r="F69" s="14">
        <v>1250</v>
      </c>
    </row>
    <row r="70" spans="2:6" x14ac:dyDescent="0.25">
      <c r="B70" s="11">
        <v>59</v>
      </c>
      <c r="C70" s="21" t="s">
        <v>70</v>
      </c>
      <c r="D70" s="6" t="s">
        <v>10</v>
      </c>
      <c r="E70" s="14">
        <f>15*1180</f>
        <v>17700</v>
      </c>
      <c r="F70" s="14">
        <v>1250</v>
      </c>
    </row>
    <row r="71" spans="2:6" x14ac:dyDescent="0.25">
      <c r="B71" s="11">
        <v>60</v>
      </c>
      <c r="C71" s="21" t="s">
        <v>71</v>
      </c>
      <c r="D71" s="6" t="s">
        <v>12</v>
      </c>
      <c r="E71" s="14">
        <f>30*F71</f>
        <v>37500</v>
      </c>
      <c r="F71" s="14">
        <v>1250</v>
      </c>
    </row>
    <row r="72" spans="2:6" ht="18.75" x14ac:dyDescent="0.25">
      <c r="B72" s="23" t="s">
        <v>119</v>
      </c>
      <c r="C72" s="23"/>
      <c r="D72" s="23"/>
      <c r="E72" s="23"/>
      <c r="F72" s="3"/>
    </row>
    <row r="73" spans="2:6" x14ac:dyDescent="0.25">
      <c r="B73" s="9" t="s">
        <v>47</v>
      </c>
      <c r="C73" s="22" t="s">
        <v>0</v>
      </c>
      <c r="D73" s="7" t="s">
        <v>18</v>
      </c>
      <c r="E73" s="18" t="s">
        <v>13</v>
      </c>
      <c r="F73" s="1" t="s">
        <v>19</v>
      </c>
    </row>
    <row r="74" spans="2:6" x14ac:dyDescent="0.25">
      <c r="B74" s="11">
        <v>61</v>
      </c>
      <c r="C74" s="21" t="s">
        <v>72</v>
      </c>
      <c r="D74" s="6" t="s">
        <v>10</v>
      </c>
      <c r="E74" s="14">
        <f>15*1180</f>
        <v>17700</v>
      </c>
      <c r="F74" s="14">
        <v>1250</v>
      </c>
    </row>
    <row r="75" spans="2:6" x14ac:dyDescent="0.25">
      <c r="B75" s="11">
        <v>62</v>
      </c>
      <c r="C75" s="21" t="s">
        <v>73</v>
      </c>
      <c r="D75" s="6" t="s">
        <v>12</v>
      </c>
      <c r="E75" s="14">
        <f t="shared" ref="E75:E79" si="18">30*F75</f>
        <v>37500</v>
      </c>
      <c r="F75" s="14">
        <v>1250</v>
      </c>
    </row>
    <row r="76" spans="2:6" x14ac:dyDescent="0.25">
      <c r="B76" s="11">
        <v>63</v>
      </c>
      <c r="C76" s="21" t="s">
        <v>74</v>
      </c>
      <c r="D76" s="6" t="s">
        <v>12</v>
      </c>
      <c r="E76" s="14">
        <f t="shared" si="18"/>
        <v>37500</v>
      </c>
      <c r="F76" s="14">
        <v>1250</v>
      </c>
    </row>
    <row r="77" spans="2:6" x14ac:dyDescent="0.25">
      <c r="B77" s="11">
        <v>64</v>
      </c>
      <c r="C77" s="21" t="s">
        <v>75</v>
      </c>
      <c r="D77" s="6" t="s">
        <v>12</v>
      </c>
      <c r="E77" s="14">
        <f t="shared" si="18"/>
        <v>37500</v>
      </c>
      <c r="F77" s="14">
        <v>1250</v>
      </c>
    </row>
    <row r="78" spans="2:6" x14ac:dyDescent="0.25">
      <c r="B78" s="11">
        <v>65</v>
      </c>
      <c r="C78" s="21" t="s">
        <v>76</v>
      </c>
      <c r="D78" s="6" t="s">
        <v>12</v>
      </c>
      <c r="E78" s="14">
        <f t="shared" si="18"/>
        <v>37500</v>
      </c>
      <c r="F78" s="14">
        <v>1250</v>
      </c>
    </row>
    <row r="79" spans="2:6" x14ac:dyDescent="0.25">
      <c r="B79" s="11">
        <v>66</v>
      </c>
      <c r="C79" s="21" t="s">
        <v>77</v>
      </c>
      <c r="D79" s="6" t="s">
        <v>12</v>
      </c>
      <c r="E79" s="14">
        <f t="shared" si="18"/>
        <v>37500</v>
      </c>
      <c r="F79" s="14">
        <v>1250</v>
      </c>
    </row>
    <row r="80" spans="2:6" x14ac:dyDescent="0.25">
      <c r="B80" s="11">
        <v>67</v>
      </c>
      <c r="C80" s="21" t="s">
        <v>78</v>
      </c>
      <c r="D80" s="6" t="s">
        <v>10</v>
      </c>
      <c r="E80" s="14">
        <f>15*1180</f>
        <v>17700</v>
      </c>
      <c r="F80" s="14">
        <v>1250</v>
      </c>
    </row>
    <row r="81" spans="2:6" x14ac:dyDescent="0.25">
      <c r="B81" s="11">
        <v>68</v>
      </c>
      <c r="C81" s="21" t="s">
        <v>79</v>
      </c>
      <c r="D81" s="6" t="s">
        <v>12</v>
      </c>
      <c r="E81" s="14">
        <f>30*F81</f>
        <v>37500</v>
      </c>
      <c r="F81" s="14">
        <v>1250</v>
      </c>
    </row>
    <row r="82" spans="2:6" x14ac:dyDescent="0.25">
      <c r="B82" s="11">
        <v>69</v>
      </c>
      <c r="C82" s="21" t="s">
        <v>80</v>
      </c>
      <c r="D82" s="6" t="s">
        <v>10</v>
      </c>
      <c r="E82" s="14">
        <f>15*1180</f>
        <v>17700</v>
      </c>
      <c r="F82" s="14">
        <v>1250</v>
      </c>
    </row>
    <row r="83" spans="2:6" x14ac:dyDescent="0.25">
      <c r="B83" s="11">
        <v>70</v>
      </c>
      <c r="C83" s="21" t="s">
        <v>81</v>
      </c>
      <c r="D83" s="6" t="s">
        <v>12</v>
      </c>
      <c r="E83" s="14">
        <f>30*F83</f>
        <v>37500</v>
      </c>
      <c r="F83" s="14">
        <v>1250</v>
      </c>
    </row>
    <row r="84" spans="2:6" x14ac:dyDescent="0.25">
      <c r="B84" s="11">
        <v>71</v>
      </c>
      <c r="C84" s="21" t="s">
        <v>82</v>
      </c>
      <c r="D84" s="6" t="s">
        <v>10</v>
      </c>
      <c r="E84" s="14">
        <f>15*1180</f>
        <v>17700</v>
      </c>
      <c r="F84" s="14">
        <v>1250</v>
      </c>
    </row>
    <row r="85" spans="2:6" x14ac:dyDescent="0.25">
      <c r="B85" s="11">
        <v>72</v>
      </c>
      <c r="C85" s="21" t="s">
        <v>83</v>
      </c>
      <c r="D85" s="6" t="s">
        <v>12</v>
      </c>
      <c r="E85" s="14">
        <f>30*F85</f>
        <v>37500</v>
      </c>
      <c r="F85" s="14">
        <v>1250</v>
      </c>
    </row>
    <row r="86" spans="2:6" x14ac:dyDescent="0.25">
      <c r="B86" s="11">
        <v>73</v>
      </c>
      <c r="C86" s="21" t="s">
        <v>84</v>
      </c>
      <c r="D86" s="6" t="s">
        <v>10</v>
      </c>
      <c r="E86" s="14">
        <f t="shared" ref="E86:E87" si="19">15*1180</f>
        <v>17700</v>
      </c>
      <c r="F86" s="14">
        <v>1250</v>
      </c>
    </row>
    <row r="87" spans="2:6" x14ac:dyDescent="0.25">
      <c r="B87" s="11">
        <v>74</v>
      </c>
      <c r="C87" s="21" t="s">
        <v>85</v>
      </c>
      <c r="D87" s="6" t="s">
        <v>10</v>
      </c>
      <c r="E87" s="14">
        <f t="shared" si="19"/>
        <v>17700</v>
      </c>
      <c r="F87" s="14">
        <v>1250</v>
      </c>
    </row>
    <row r="88" spans="2:6" x14ac:dyDescent="0.25">
      <c r="B88" s="11">
        <v>75</v>
      </c>
      <c r="C88" s="21" t="s">
        <v>86</v>
      </c>
      <c r="D88" s="6" t="s">
        <v>12</v>
      </c>
      <c r="E88" s="14">
        <f>30*F88</f>
        <v>37500</v>
      </c>
      <c r="F88" s="14">
        <v>1250</v>
      </c>
    </row>
    <row r="89" spans="2:6" ht="18.75" x14ac:dyDescent="0.25">
      <c r="B89" s="23" t="s">
        <v>120</v>
      </c>
      <c r="C89" s="23"/>
      <c r="D89" s="23"/>
      <c r="E89" s="23"/>
      <c r="F89" s="3"/>
    </row>
    <row r="90" spans="2:6" x14ac:dyDescent="0.25">
      <c r="B90" s="9" t="s">
        <v>47</v>
      </c>
      <c r="C90" s="22" t="s">
        <v>0</v>
      </c>
      <c r="D90" s="7" t="s">
        <v>18</v>
      </c>
      <c r="E90" s="18" t="s">
        <v>13</v>
      </c>
      <c r="F90" s="1" t="s">
        <v>19</v>
      </c>
    </row>
    <row r="91" spans="2:6" x14ac:dyDescent="0.25">
      <c r="B91" s="11">
        <v>76</v>
      </c>
      <c r="C91" s="21" t="s">
        <v>87</v>
      </c>
      <c r="D91" s="6" t="s">
        <v>11</v>
      </c>
      <c r="E91" s="14">
        <f>60*F91</f>
        <v>75000</v>
      </c>
      <c r="F91" s="14">
        <v>1250</v>
      </c>
    </row>
    <row r="92" spans="2:6" x14ac:dyDescent="0.25">
      <c r="B92" s="11">
        <v>77</v>
      </c>
      <c r="C92" s="21" t="s">
        <v>88</v>
      </c>
      <c r="D92" s="6" t="s">
        <v>12</v>
      </c>
      <c r="E92" s="14">
        <f>30*F92</f>
        <v>37500</v>
      </c>
      <c r="F92" s="14">
        <v>1250</v>
      </c>
    </row>
    <row r="93" spans="2:6" x14ac:dyDescent="0.25">
      <c r="B93" s="11">
        <v>78</v>
      </c>
      <c r="C93" s="21" t="s">
        <v>89</v>
      </c>
      <c r="D93" s="6" t="s">
        <v>11</v>
      </c>
      <c r="E93" s="14">
        <f t="shared" ref="E93:E95" si="20">60*F93</f>
        <v>75000</v>
      </c>
      <c r="F93" s="14">
        <v>1250</v>
      </c>
    </row>
    <row r="94" spans="2:6" x14ac:dyDescent="0.25">
      <c r="B94" s="11">
        <v>79</v>
      </c>
      <c r="C94" s="21" t="s">
        <v>90</v>
      </c>
      <c r="D94" s="6" t="s">
        <v>11</v>
      </c>
      <c r="E94" s="14">
        <f t="shared" si="20"/>
        <v>75000</v>
      </c>
      <c r="F94" s="14">
        <v>1250</v>
      </c>
    </row>
    <row r="95" spans="2:6" x14ac:dyDescent="0.25">
      <c r="B95" s="11">
        <v>80</v>
      </c>
      <c r="C95" s="21" t="s">
        <v>91</v>
      </c>
      <c r="D95" s="6" t="s">
        <v>11</v>
      </c>
      <c r="E95" s="14">
        <f t="shared" si="20"/>
        <v>75000</v>
      </c>
      <c r="F95" s="14">
        <v>1250</v>
      </c>
    </row>
    <row r="96" spans="2:6" x14ac:dyDescent="0.25">
      <c r="B96" s="11">
        <v>81</v>
      </c>
      <c r="C96" s="21" t="s">
        <v>92</v>
      </c>
      <c r="D96" s="6" t="s">
        <v>12</v>
      </c>
      <c r="E96" s="14">
        <f t="shared" ref="E96:E97" si="21">30*F96</f>
        <v>37500</v>
      </c>
      <c r="F96" s="14">
        <v>1250</v>
      </c>
    </row>
    <row r="97" spans="2:6" x14ac:dyDescent="0.25">
      <c r="B97" s="11">
        <v>82</v>
      </c>
      <c r="C97" s="21" t="s">
        <v>93</v>
      </c>
      <c r="D97" s="6" t="s">
        <v>12</v>
      </c>
      <c r="E97" s="14">
        <f t="shared" si="21"/>
        <v>37500</v>
      </c>
      <c r="F97" s="14">
        <v>1250</v>
      </c>
    </row>
    <row r="98" spans="2:6" x14ac:dyDescent="0.25">
      <c r="B98" s="11">
        <v>83</v>
      </c>
      <c r="C98" s="21" t="s">
        <v>94</v>
      </c>
      <c r="D98" s="6" t="s">
        <v>11</v>
      </c>
      <c r="E98" s="14">
        <f t="shared" ref="E98:E99" si="22">60*F98</f>
        <v>75000</v>
      </c>
      <c r="F98" s="14">
        <v>1250</v>
      </c>
    </row>
    <row r="99" spans="2:6" x14ac:dyDescent="0.25">
      <c r="B99" s="11">
        <v>84</v>
      </c>
      <c r="C99" s="21" t="s">
        <v>95</v>
      </c>
      <c r="D99" s="6" t="s">
        <v>11</v>
      </c>
      <c r="E99" s="14">
        <f t="shared" si="22"/>
        <v>75000</v>
      </c>
      <c r="F99" s="14">
        <v>1250</v>
      </c>
    </row>
    <row r="100" spans="2:6" x14ac:dyDescent="0.25">
      <c r="B100" s="11">
        <v>85</v>
      </c>
      <c r="C100" s="21" t="s">
        <v>96</v>
      </c>
      <c r="D100" s="6" t="s">
        <v>12</v>
      </c>
      <c r="E100" s="14">
        <f t="shared" ref="E100:E102" si="23">30*F100</f>
        <v>37500</v>
      </c>
      <c r="F100" s="14">
        <v>1250</v>
      </c>
    </row>
    <row r="101" spans="2:6" x14ac:dyDescent="0.25">
      <c r="B101" s="11">
        <v>86</v>
      </c>
      <c r="C101" s="21" t="s">
        <v>97</v>
      </c>
      <c r="D101" s="6" t="s">
        <v>12</v>
      </c>
      <c r="E101" s="14">
        <f t="shared" si="23"/>
        <v>37500</v>
      </c>
      <c r="F101" s="14">
        <v>1250</v>
      </c>
    </row>
    <row r="102" spans="2:6" x14ac:dyDescent="0.25">
      <c r="B102" s="11">
        <v>87</v>
      </c>
      <c r="C102" s="21" t="s">
        <v>98</v>
      </c>
      <c r="D102" s="6" t="s">
        <v>12</v>
      </c>
      <c r="E102" s="14">
        <f t="shared" si="23"/>
        <v>37500</v>
      </c>
      <c r="F102" s="14">
        <v>1250</v>
      </c>
    </row>
    <row r="103" spans="2:6" x14ac:dyDescent="0.25">
      <c r="B103" s="11">
        <v>88</v>
      </c>
      <c r="C103" s="21" t="s">
        <v>99</v>
      </c>
      <c r="D103" s="6" t="s">
        <v>11</v>
      </c>
      <c r="E103" s="14">
        <f t="shared" ref="E103:E104" si="24">60*F103</f>
        <v>75000</v>
      </c>
      <c r="F103" s="14">
        <v>1250</v>
      </c>
    </row>
    <row r="104" spans="2:6" x14ac:dyDescent="0.25">
      <c r="B104" s="11">
        <v>89</v>
      </c>
      <c r="C104" s="21" t="s">
        <v>100</v>
      </c>
      <c r="D104" s="6" t="s">
        <v>11</v>
      </c>
      <c r="E104" s="14">
        <f t="shared" si="24"/>
        <v>75000</v>
      </c>
      <c r="F104" s="14">
        <v>1250</v>
      </c>
    </row>
    <row r="105" spans="2:6" x14ac:dyDescent="0.25">
      <c r="B105" s="11">
        <v>90</v>
      </c>
      <c r="C105" s="21" t="s">
        <v>101</v>
      </c>
      <c r="D105" s="6" t="s">
        <v>12</v>
      </c>
      <c r="E105" s="14">
        <f>30*F105</f>
        <v>37500</v>
      </c>
      <c r="F105" s="14">
        <v>1250</v>
      </c>
    </row>
    <row r="106" spans="2:6" ht="18.75" x14ac:dyDescent="0.25">
      <c r="B106" s="23" t="s">
        <v>121</v>
      </c>
      <c r="C106" s="23"/>
      <c r="D106" s="23"/>
      <c r="E106" s="23"/>
      <c r="F106" s="3"/>
    </row>
    <row r="107" spans="2:6" x14ac:dyDescent="0.25">
      <c r="B107" s="9" t="s">
        <v>47</v>
      </c>
      <c r="C107" s="22" t="s">
        <v>0</v>
      </c>
      <c r="D107" s="7" t="s">
        <v>18</v>
      </c>
      <c r="E107" s="18" t="s">
        <v>13</v>
      </c>
      <c r="F107" s="1" t="s">
        <v>19</v>
      </c>
    </row>
    <row r="108" spans="2:6" x14ac:dyDescent="0.25">
      <c r="B108" s="11">
        <v>91</v>
      </c>
      <c r="C108" s="21" t="s">
        <v>102</v>
      </c>
      <c r="D108" s="6" t="s">
        <v>10</v>
      </c>
      <c r="E108" s="14">
        <f t="shared" ref="E108:E110" si="25">15*1180</f>
        <v>17700</v>
      </c>
      <c r="F108" s="14">
        <v>1250</v>
      </c>
    </row>
    <row r="109" spans="2:6" x14ac:dyDescent="0.25">
      <c r="B109" s="11">
        <v>92</v>
      </c>
      <c r="C109" s="21" t="s">
        <v>103</v>
      </c>
      <c r="D109" s="6" t="s">
        <v>10</v>
      </c>
      <c r="E109" s="14">
        <f t="shared" si="25"/>
        <v>17700</v>
      </c>
      <c r="F109" s="14">
        <v>1250</v>
      </c>
    </row>
    <row r="110" spans="2:6" x14ac:dyDescent="0.25">
      <c r="B110" s="11">
        <v>93</v>
      </c>
      <c r="C110" s="21" t="s">
        <v>104</v>
      </c>
      <c r="D110" s="6" t="s">
        <v>10</v>
      </c>
      <c r="E110" s="14">
        <f t="shared" si="25"/>
        <v>17700</v>
      </c>
      <c r="F110" s="14">
        <v>1250</v>
      </c>
    </row>
    <row r="111" spans="2:6" x14ac:dyDescent="0.25">
      <c r="B111" s="11">
        <v>94</v>
      </c>
      <c r="C111" s="21" t="s">
        <v>105</v>
      </c>
      <c r="D111" s="6" t="s">
        <v>12</v>
      </c>
      <c r="E111" s="14">
        <f>30*F111</f>
        <v>37500</v>
      </c>
      <c r="F111" s="14">
        <v>1250</v>
      </c>
    </row>
    <row r="112" spans="2:6" x14ac:dyDescent="0.25">
      <c r="B112" s="11">
        <v>95</v>
      </c>
      <c r="C112" s="21" t="s">
        <v>106</v>
      </c>
      <c r="D112" s="6" t="s">
        <v>10</v>
      </c>
      <c r="E112" s="14">
        <f t="shared" ref="E112:E113" si="26">15*1180</f>
        <v>17700</v>
      </c>
      <c r="F112" s="14">
        <v>1250</v>
      </c>
    </row>
    <row r="113" spans="2:6" x14ac:dyDescent="0.25">
      <c r="B113" s="11">
        <v>96</v>
      </c>
      <c r="C113" s="21" t="s">
        <v>107</v>
      </c>
      <c r="D113" s="6" t="s">
        <v>10</v>
      </c>
      <c r="E113" s="14">
        <f t="shared" si="26"/>
        <v>17700</v>
      </c>
      <c r="F113" s="14">
        <v>1250</v>
      </c>
    </row>
    <row r="114" spans="2:6" x14ac:dyDescent="0.25">
      <c r="B114" s="11">
        <v>97</v>
      </c>
      <c r="C114" s="21" t="s">
        <v>108</v>
      </c>
      <c r="D114" s="6" t="s">
        <v>12</v>
      </c>
      <c r="E114" s="14">
        <f>30*F114</f>
        <v>37500</v>
      </c>
      <c r="F114" s="14">
        <v>1250</v>
      </c>
    </row>
    <row r="115" spans="2:6" x14ac:dyDescent="0.25">
      <c r="B115" s="11">
        <v>98</v>
      </c>
      <c r="C115" s="21" t="s">
        <v>109</v>
      </c>
      <c r="D115" s="6" t="s">
        <v>10</v>
      </c>
      <c r="E115" s="14">
        <f t="shared" ref="E115:E116" si="27">15*1180</f>
        <v>17700</v>
      </c>
      <c r="F115" s="14">
        <v>1250</v>
      </c>
    </row>
    <row r="116" spans="2:6" x14ac:dyDescent="0.25">
      <c r="B116" s="11">
        <v>99</v>
      </c>
      <c r="C116" s="21" t="s">
        <v>110</v>
      </c>
      <c r="D116" s="6" t="s">
        <v>10</v>
      </c>
      <c r="E116" s="14">
        <f t="shared" si="27"/>
        <v>17700</v>
      </c>
      <c r="F116" s="14">
        <v>1250</v>
      </c>
    </row>
    <row r="117" spans="2:6" x14ac:dyDescent="0.25">
      <c r="B117" s="11">
        <v>100</v>
      </c>
      <c r="C117" s="21" t="s">
        <v>111</v>
      </c>
      <c r="D117" s="6" t="s">
        <v>12</v>
      </c>
      <c r="E117" s="14">
        <f>30*F117</f>
        <v>37500</v>
      </c>
      <c r="F117" s="14">
        <v>1250</v>
      </c>
    </row>
    <row r="118" spans="2:6" ht="18.75" x14ac:dyDescent="0.25">
      <c r="B118" s="23" t="s">
        <v>153</v>
      </c>
      <c r="C118" s="23"/>
      <c r="D118" s="23"/>
      <c r="E118" s="23"/>
      <c r="F118" s="3"/>
    </row>
    <row r="119" spans="2:6" x14ac:dyDescent="0.25">
      <c r="B119" s="9" t="s">
        <v>47</v>
      </c>
      <c r="C119" s="22" t="s">
        <v>0</v>
      </c>
      <c r="D119" s="7" t="s">
        <v>18</v>
      </c>
      <c r="E119" s="18" t="s">
        <v>13</v>
      </c>
      <c r="F119" s="1" t="s">
        <v>19</v>
      </c>
    </row>
    <row r="120" spans="2:6" x14ac:dyDescent="0.25">
      <c r="B120" s="11">
        <v>101</v>
      </c>
      <c r="C120" s="21" t="s">
        <v>112</v>
      </c>
      <c r="D120" s="6" t="s">
        <v>10</v>
      </c>
      <c r="E120" s="14">
        <f t="shared" ref="E120:E124" si="28">15*1180</f>
        <v>17700</v>
      </c>
      <c r="F120" s="14">
        <v>1250</v>
      </c>
    </row>
    <row r="121" spans="2:6" x14ac:dyDescent="0.25">
      <c r="B121" s="11">
        <v>102</v>
      </c>
      <c r="C121" s="21" t="s">
        <v>113</v>
      </c>
      <c r="D121" s="6" t="s">
        <v>10</v>
      </c>
      <c r="E121" s="14">
        <f t="shared" si="28"/>
        <v>17700</v>
      </c>
      <c r="F121" s="14">
        <v>1250</v>
      </c>
    </row>
    <row r="122" spans="2:6" x14ac:dyDescent="0.25">
      <c r="B122" s="11">
        <v>103</v>
      </c>
      <c r="C122" s="21" t="s">
        <v>114</v>
      </c>
      <c r="D122" s="6" t="s">
        <v>10</v>
      </c>
      <c r="E122" s="14">
        <f t="shared" si="28"/>
        <v>17700</v>
      </c>
      <c r="F122" s="14">
        <v>1250</v>
      </c>
    </row>
    <row r="123" spans="2:6" x14ac:dyDescent="0.25">
      <c r="B123" s="11">
        <v>104</v>
      </c>
      <c r="C123" s="21" t="s">
        <v>115</v>
      </c>
      <c r="D123" s="6" t="s">
        <v>10</v>
      </c>
      <c r="E123" s="14">
        <f t="shared" si="28"/>
        <v>17700</v>
      </c>
      <c r="F123" s="14">
        <v>1250</v>
      </c>
    </row>
    <row r="124" spans="2:6" x14ac:dyDescent="0.25">
      <c r="B124" s="11">
        <v>105</v>
      </c>
      <c r="C124" s="21" t="s">
        <v>116</v>
      </c>
      <c r="D124" s="6" t="s">
        <v>10</v>
      </c>
      <c r="E124" s="14">
        <f t="shared" si="28"/>
        <v>17700</v>
      </c>
      <c r="F124" s="14">
        <v>1250</v>
      </c>
    </row>
    <row r="125" spans="2:6" ht="18.75" x14ac:dyDescent="0.25">
      <c r="B125" s="23" t="s">
        <v>148</v>
      </c>
      <c r="C125" s="23"/>
      <c r="D125" s="23"/>
      <c r="E125" s="23"/>
      <c r="F125" s="3"/>
    </row>
    <row r="126" spans="2:6" x14ac:dyDescent="0.25">
      <c r="B126" s="9" t="s">
        <v>47</v>
      </c>
      <c r="C126" s="22" t="s">
        <v>0</v>
      </c>
      <c r="D126" s="7" t="s">
        <v>18</v>
      </c>
      <c r="E126" s="18" t="s">
        <v>13</v>
      </c>
      <c r="F126" s="1" t="s">
        <v>19</v>
      </c>
    </row>
    <row r="127" spans="2:6" x14ac:dyDescent="0.25">
      <c r="B127" s="11">
        <v>106</v>
      </c>
      <c r="C127" s="21" t="s">
        <v>123</v>
      </c>
      <c r="D127" s="6" t="s">
        <v>11</v>
      </c>
      <c r="E127" s="14">
        <f>60*F127</f>
        <v>75000</v>
      </c>
      <c r="F127" s="14">
        <v>1250</v>
      </c>
    </row>
    <row r="128" spans="2:6" x14ac:dyDescent="0.25">
      <c r="B128" s="11">
        <v>107</v>
      </c>
      <c r="C128" s="21" t="s">
        <v>124</v>
      </c>
      <c r="D128" s="6" t="s">
        <v>12</v>
      </c>
      <c r="E128" s="14">
        <f>30*F128</f>
        <v>37500</v>
      </c>
      <c r="F128" s="14">
        <v>1250</v>
      </c>
    </row>
    <row r="129" spans="2:6" x14ac:dyDescent="0.25">
      <c r="B129" s="11">
        <v>108</v>
      </c>
      <c r="C129" s="21" t="s">
        <v>125</v>
      </c>
      <c r="D129" s="6" t="s">
        <v>11</v>
      </c>
      <c r="E129" s="14">
        <f t="shared" ref="E129:E130" si="29">60*F129</f>
        <v>75000</v>
      </c>
      <c r="F129" s="14">
        <v>1250</v>
      </c>
    </row>
    <row r="130" spans="2:6" x14ac:dyDescent="0.25">
      <c r="B130" s="11">
        <v>109</v>
      </c>
      <c r="C130" s="21" t="s">
        <v>126</v>
      </c>
      <c r="D130" s="6" t="s">
        <v>11</v>
      </c>
      <c r="E130" s="14">
        <f t="shared" si="29"/>
        <v>75000</v>
      </c>
      <c r="F130" s="14">
        <v>1250</v>
      </c>
    </row>
    <row r="131" spans="2:6" x14ac:dyDescent="0.25">
      <c r="B131" s="11">
        <v>110</v>
      </c>
      <c r="C131" s="21" t="s">
        <v>127</v>
      </c>
      <c r="D131" s="6" t="s">
        <v>12</v>
      </c>
      <c r="E131" s="14">
        <f>30*F131</f>
        <v>37500</v>
      </c>
      <c r="F131" s="14">
        <v>1250</v>
      </c>
    </row>
    <row r="132" spans="2:6" ht="18.75" x14ac:dyDescent="0.25">
      <c r="B132" s="23" t="s">
        <v>149</v>
      </c>
      <c r="C132" s="23"/>
      <c r="D132" s="23"/>
      <c r="E132" s="23"/>
      <c r="F132" s="4"/>
    </row>
    <row r="133" spans="2:6" x14ac:dyDescent="0.25">
      <c r="B133" s="9" t="s">
        <v>47</v>
      </c>
      <c r="C133" s="22" t="s">
        <v>0</v>
      </c>
      <c r="D133" s="7" t="s">
        <v>18</v>
      </c>
      <c r="E133" s="18" t="s">
        <v>122</v>
      </c>
      <c r="F133" s="1" t="s">
        <v>19</v>
      </c>
    </row>
    <row r="134" spans="2:6" x14ac:dyDescent="0.25">
      <c r="B134" s="11">
        <v>111</v>
      </c>
      <c r="C134" s="21" t="s">
        <v>128</v>
      </c>
      <c r="D134" s="6" t="s">
        <v>12</v>
      </c>
      <c r="E134" s="14">
        <f>30*F134</f>
        <v>37500</v>
      </c>
      <c r="F134" s="14">
        <v>1250</v>
      </c>
    </row>
    <row r="135" spans="2:6" x14ac:dyDescent="0.25">
      <c r="B135" s="11">
        <v>112</v>
      </c>
      <c r="C135" s="21" t="s">
        <v>129</v>
      </c>
      <c r="D135" s="6" t="s">
        <v>11</v>
      </c>
      <c r="E135" s="14">
        <f>60*F135</f>
        <v>75000</v>
      </c>
      <c r="F135" s="14">
        <v>1250</v>
      </c>
    </row>
    <row r="136" spans="2:6" x14ac:dyDescent="0.25">
      <c r="B136" s="11">
        <v>113</v>
      </c>
      <c r="C136" s="21" t="s">
        <v>130</v>
      </c>
      <c r="D136" s="6" t="s">
        <v>12</v>
      </c>
      <c r="E136" s="14">
        <f>30*F136</f>
        <v>37500</v>
      </c>
      <c r="F136" s="14">
        <v>1250</v>
      </c>
    </row>
    <row r="137" spans="2:6" x14ac:dyDescent="0.25">
      <c r="B137" s="11">
        <v>114</v>
      </c>
      <c r="C137" s="21" t="s">
        <v>131</v>
      </c>
      <c r="D137" s="6" t="s">
        <v>10</v>
      </c>
      <c r="E137" s="14">
        <f t="shared" ref="E137:E138" si="30">15*1180</f>
        <v>17700</v>
      </c>
      <c r="F137" s="14">
        <v>1250</v>
      </c>
    </row>
    <row r="138" spans="2:6" x14ac:dyDescent="0.25">
      <c r="B138" s="11">
        <v>115</v>
      </c>
      <c r="C138" s="21" t="s">
        <v>132</v>
      </c>
      <c r="D138" s="6" t="s">
        <v>10</v>
      </c>
      <c r="E138" s="14">
        <f t="shared" si="30"/>
        <v>17700</v>
      </c>
      <c r="F138" s="14">
        <v>1250</v>
      </c>
    </row>
    <row r="139" spans="2:6" ht="18.75" x14ac:dyDescent="0.25">
      <c r="B139" s="23" t="s">
        <v>150</v>
      </c>
      <c r="C139" s="23"/>
      <c r="D139" s="23"/>
      <c r="E139" s="23"/>
      <c r="F139" s="4"/>
    </row>
    <row r="140" spans="2:6" x14ac:dyDescent="0.25">
      <c r="B140" s="9" t="s">
        <v>47</v>
      </c>
      <c r="C140" s="22" t="s">
        <v>0</v>
      </c>
      <c r="D140" s="7" t="s">
        <v>18</v>
      </c>
      <c r="E140" s="18" t="s">
        <v>13</v>
      </c>
      <c r="F140" s="1" t="s">
        <v>19</v>
      </c>
    </row>
    <row r="141" spans="2:6" x14ac:dyDescent="0.25">
      <c r="B141" s="16">
        <v>116</v>
      </c>
      <c r="C141" s="12" t="s">
        <v>133</v>
      </c>
      <c r="D141" s="16" t="s">
        <v>12</v>
      </c>
      <c r="E141" s="14">
        <f t="shared" ref="E141:E143" si="31">30*F141</f>
        <v>37500</v>
      </c>
      <c r="F141" s="8">
        <v>1250</v>
      </c>
    </row>
    <row r="142" spans="2:6" x14ac:dyDescent="0.25">
      <c r="B142" s="17">
        <v>117</v>
      </c>
      <c r="C142" s="12" t="s">
        <v>134</v>
      </c>
      <c r="D142" s="17" t="s">
        <v>12</v>
      </c>
      <c r="E142" s="14">
        <f t="shared" si="31"/>
        <v>37500</v>
      </c>
      <c r="F142" s="8">
        <v>1250</v>
      </c>
    </row>
    <row r="143" spans="2:6" x14ac:dyDescent="0.25">
      <c r="B143" s="17">
        <v>118</v>
      </c>
      <c r="C143" s="12" t="s">
        <v>135</v>
      </c>
      <c r="D143" s="17" t="s">
        <v>12</v>
      </c>
      <c r="E143" s="14">
        <f t="shared" si="31"/>
        <v>37500</v>
      </c>
      <c r="F143" s="8">
        <v>1250</v>
      </c>
    </row>
    <row r="144" spans="2:6" x14ac:dyDescent="0.25">
      <c r="B144" s="17">
        <v>119</v>
      </c>
      <c r="C144" s="12" t="s">
        <v>136</v>
      </c>
      <c r="D144" s="17" t="s">
        <v>11</v>
      </c>
      <c r="E144" s="14">
        <f t="shared" ref="E144:E145" si="32">60*F144</f>
        <v>75000</v>
      </c>
      <c r="F144" s="8">
        <v>1250</v>
      </c>
    </row>
    <row r="145" spans="2:6" x14ac:dyDescent="0.25">
      <c r="B145" s="17">
        <v>120</v>
      </c>
      <c r="C145" s="12" t="s">
        <v>137</v>
      </c>
      <c r="D145" s="17" t="s">
        <v>11</v>
      </c>
      <c r="E145" s="14">
        <f t="shared" si="32"/>
        <v>75000</v>
      </c>
      <c r="F145" s="8">
        <v>1250</v>
      </c>
    </row>
    <row r="146" spans="2:6" ht="18.75" x14ac:dyDescent="0.3">
      <c r="B146" s="25" t="s">
        <v>151</v>
      </c>
      <c r="C146" s="25"/>
      <c r="D146" s="25"/>
      <c r="E146" s="25"/>
      <c r="F146" s="5"/>
    </row>
    <row r="147" spans="2:6" x14ac:dyDescent="0.25">
      <c r="B147" s="9" t="s">
        <v>47</v>
      </c>
      <c r="C147" s="22" t="s">
        <v>0</v>
      </c>
      <c r="D147" s="7" t="s">
        <v>18</v>
      </c>
      <c r="E147" s="18" t="s">
        <v>13</v>
      </c>
      <c r="F147" s="1" t="s">
        <v>19</v>
      </c>
    </row>
    <row r="148" spans="2:6" x14ac:dyDescent="0.25">
      <c r="B148" s="16">
        <v>121</v>
      </c>
      <c r="C148" s="13" t="s">
        <v>138</v>
      </c>
      <c r="D148" s="16" t="s">
        <v>11</v>
      </c>
      <c r="E148" s="14">
        <f t="shared" ref="E148:E149" si="33">60*F148</f>
        <v>75000</v>
      </c>
      <c r="F148" s="8">
        <v>1250</v>
      </c>
    </row>
    <row r="149" spans="2:6" x14ac:dyDescent="0.25">
      <c r="B149" s="17">
        <v>122</v>
      </c>
      <c r="C149" s="12" t="s">
        <v>139</v>
      </c>
      <c r="D149" s="17" t="s">
        <v>11</v>
      </c>
      <c r="E149" s="14">
        <f t="shared" si="33"/>
        <v>75000</v>
      </c>
      <c r="F149" s="8">
        <v>1250</v>
      </c>
    </row>
    <row r="150" spans="2:6" x14ac:dyDescent="0.25">
      <c r="B150" s="17">
        <v>123</v>
      </c>
      <c r="C150" s="12" t="s">
        <v>140</v>
      </c>
      <c r="D150" s="17" t="s">
        <v>12</v>
      </c>
      <c r="E150" s="14">
        <f t="shared" ref="E150:E151" si="34">30*F150</f>
        <v>37500</v>
      </c>
      <c r="F150" s="8">
        <v>1250</v>
      </c>
    </row>
    <row r="151" spans="2:6" x14ac:dyDescent="0.25">
      <c r="B151" s="17">
        <v>124</v>
      </c>
      <c r="C151" s="12" t="s">
        <v>141</v>
      </c>
      <c r="D151" s="17" t="s">
        <v>12</v>
      </c>
      <c r="E151" s="14">
        <f t="shared" si="34"/>
        <v>37500</v>
      </c>
      <c r="F151" s="8">
        <v>1250</v>
      </c>
    </row>
    <row r="152" spans="2:6" x14ac:dyDescent="0.25">
      <c r="B152" s="17">
        <v>125</v>
      </c>
      <c r="C152" s="12" t="s">
        <v>142</v>
      </c>
      <c r="D152" s="17" t="s">
        <v>10</v>
      </c>
      <c r="E152" s="14">
        <f>15*1180</f>
        <v>17700</v>
      </c>
      <c r="F152" s="8">
        <v>1250</v>
      </c>
    </row>
    <row r="153" spans="2:6" ht="18.75" x14ac:dyDescent="0.3">
      <c r="B153" s="25" t="s">
        <v>152</v>
      </c>
      <c r="C153" s="25"/>
      <c r="D153" s="25"/>
      <c r="E153" s="25"/>
      <c r="F153" s="5"/>
    </row>
    <row r="154" spans="2:6" x14ac:dyDescent="0.25">
      <c r="B154" s="9" t="s">
        <v>47</v>
      </c>
      <c r="C154" s="22" t="s">
        <v>0</v>
      </c>
      <c r="D154" s="7" t="s">
        <v>18</v>
      </c>
      <c r="E154" s="18" t="s">
        <v>13</v>
      </c>
      <c r="F154" s="1" t="s">
        <v>19</v>
      </c>
    </row>
    <row r="155" spans="2:6" x14ac:dyDescent="0.25">
      <c r="B155" s="16">
        <v>126</v>
      </c>
      <c r="C155" s="13" t="s">
        <v>143</v>
      </c>
      <c r="D155" s="16" t="s">
        <v>10</v>
      </c>
      <c r="E155" s="14">
        <f t="shared" ref="E155:E157" si="35">15*1180</f>
        <v>17700</v>
      </c>
      <c r="F155" s="14">
        <v>1250</v>
      </c>
    </row>
    <row r="156" spans="2:6" x14ac:dyDescent="0.25">
      <c r="B156" s="16">
        <v>127</v>
      </c>
      <c r="C156" s="13" t="s">
        <v>144</v>
      </c>
      <c r="D156" s="16" t="s">
        <v>10</v>
      </c>
      <c r="E156" s="14">
        <f t="shared" si="35"/>
        <v>17700</v>
      </c>
      <c r="F156" s="14">
        <v>1250</v>
      </c>
    </row>
    <row r="157" spans="2:6" x14ac:dyDescent="0.25">
      <c r="B157" s="16">
        <v>128</v>
      </c>
      <c r="C157" s="13" t="s">
        <v>145</v>
      </c>
      <c r="D157" s="16" t="s">
        <v>10</v>
      </c>
      <c r="E157" s="14">
        <f t="shared" si="35"/>
        <v>17700</v>
      </c>
      <c r="F157" s="14">
        <v>1250</v>
      </c>
    </row>
    <row r="158" spans="2:6" x14ac:dyDescent="0.25">
      <c r="B158" s="16">
        <v>129</v>
      </c>
      <c r="C158" s="13" t="s">
        <v>146</v>
      </c>
      <c r="D158" s="16" t="s">
        <v>12</v>
      </c>
      <c r="E158" s="14">
        <f t="shared" ref="E158:E159" si="36">30*F158</f>
        <v>37500</v>
      </c>
      <c r="F158" s="14">
        <v>1250</v>
      </c>
    </row>
    <row r="159" spans="2:6" x14ac:dyDescent="0.25">
      <c r="B159" s="16">
        <v>130</v>
      </c>
      <c r="C159" s="13" t="s">
        <v>147</v>
      </c>
      <c r="D159" s="16" t="s">
        <v>12</v>
      </c>
      <c r="E159" s="14">
        <f t="shared" si="36"/>
        <v>37500</v>
      </c>
      <c r="F159" s="14">
        <v>1250</v>
      </c>
    </row>
  </sheetData>
  <autoFilter ref="D2:D160"/>
  <mergeCells count="14">
    <mergeCell ref="B153:E153"/>
    <mergeCell ref="B89:E89"/>
    <mergeCell ref="B106:E106"/>
    <mergeCell ref="B125:E125"/>
    <mergeCell ref="B132:E132"/>
    <mergeCell ref="B139:E139"/>
    <mergeCell ref="B146:E146"/>
    <mergeCell ref="B118:E118"/>
    <mergeCell ref="B72:E72"/>
    <mergeCell ref="B2:E2"/>
    <mergeCell ref="B16:E16"/>
    <mergeCell ref="B31:E31"/>
    <mergeCell ref="B48:E48"/>
    <mergeCell ref="B60:E6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 Rehman</dc:creator>
  <cp:lastModifiedBy>Ubaid Rehman</cp:lastModifiedBy>
  <dcterms:created xsi:type="dcterms:W3CDTF">2026-05-19T03:03:27Z</dcterms:created>
  <dcterms:modified xsi:type="dcterms:W3CDTF">2026-05-20T12:53:07Z</dcterms:modified>
</cp:coreProperties>
</file>